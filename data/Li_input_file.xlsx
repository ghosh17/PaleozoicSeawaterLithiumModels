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aditghos_usc_edu/Documents/Roots of Silicate Weathering/Code/d7Li_sw_pco2/"/>
    </mc:Choice>
  </mc:AlternateContent>
  <xr:revisionPtr revIDLastSave="25" documentId="8_{9468C0CE-F031-F94A-8BD6-9F5B22B236F3}" xr6:coauthVersionLast="47" xr6:coauthVersionMax="47" xr10:uidLastSave="{7836096C-80F2-5343-B8B5-950BD449F95D}"/>
  <bookViews>
    <workbookView xWindow="-38400" yWindow="-4880" windowWidth="38400" windowHeight="24000" xr2:uid="{8AC8C1C7-8874-AD4F-ACB9-3CA175878205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<sst xmlns="http://schemas.openxmlformats.org/spreadsheetml/2006/main" count="34" uniqueCount="34">
  <si>
    <t>Sample ID</t>
  </si>
  <si>
    <t>Age</t>
  </si>
  <si>
    <t>BS13BT</t>
  </si>
  <si>
    <t>BS11B</t>
  </si>
  <si>
    <t>BS9B</t>
  </si>
  <si>
    <t>BS8B</t>
  </si>
  <si>
    <t>M9</t>
  </si>
  <si>
    <t>M8</t>
  </si>
  <si>
    <t>M6</t>
  </si>
  <si>
    <t>R12B</t>
  </si>
  <si>
    <t>R10B</t>
  </si>
  <si>
    <t>R08B</t>
  </si>
  <si>
    <t>GM1-1B</t>
  </si>
  <si>
    <t>MM7B</t>
  </si>
  <si>
    <t>MM6B</t>
  </si>
  <si>
    <t>AM9B</t>
  </si>
  <si>
    <t>L10B</t>
  </si>
  <si>
    <t>L07B</t>
  </si>
  <si>
    <t>L4B</t>
  </si>
  <si>
    <t>M16</t>
  </si>
  <si>
    <t>EBjC-B</t>
  </si>
  <si>
    <t>d7Li SD (internal run)</t>
  </si>
  <si>
    <t>d7Li (SD interrun)</t>
  </si>
  <si>
    <t>BS11M</t>
  </si>
  <si>
    <t>BS13M</t>
  </si>
  <si>
    <t>L04-2M</t>
  </si>
  <si>
    <t>RMT-21</t>
  </si>
  <si>
    <t>RMT-14</t>
  </si>
  <si>
    <t>RMT-6</t>
  </si>
  <si>
    <t>MRK23-1</t>
  </si>
  <si>
    <t>MRK III 8-5</t>
  </si>
  <si>
    <t>ABI 8-1</t>
  </si>
  <si>
    <t>d7Li_carb</t>
  </si>
  <si>
    <t>d7Li_sw (+4 Washington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</si>
</sst>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1" xfId="0" applyFill="1" applyBorder="1"/>
    <xf numFmtId="164" fontId="0" fillId="3" borderId="0" xfId="0" applyNumberForma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Sheet1!$B$2:$B$29</c:f>
              <c:numCache>
                <c:formatCode>General</c:formatCode>
                <c:ptCount val="28"/>
                <c:pt idx="0">
                  <c:v>312.34669829972319</c:v>
                </c:pt>
                <c:pt idx="1">
                  <c:v>312.34669829972319</c:v>
                </c:pt>
                <c:pt idx="2">
                  <c:v>320.19169632265715</c:v>
                </c:pt>
                <c:pt idx="3">
                  <c:v>320.19169632265715</c:v>
                </c:pt>
                <c:pt idx="4">
                  <c:v>322.02641360221429</c:v>
                </c:pt>
                <c:pt idx="5">
                  <c:v>322.37437722419929</c:v>
                </c:pt>
                <c:pt idx="6">
                  <c:v>341.49</c:v>
                </c:pt>
                <c:pt idx="7">
                  <c:v>348.61500000000001</c:v>
                </c:pt>
                <c:pt idx="8">
                  <c:v>348.85</c:v>
                </c:pt>
                <c:pt idx="9">
                  <c:v>372.9354207436399</c:v>
                </c:pt>
                <c:pt idx="10">
                  <c:v>378.12885744392594</c:v>
                </c:pt>
                <c:pt idx="11">
                  <c:v>379.79978925184406</c:v>
                </c:pt>
                <c:pt idx="12">
                  <c:v>384.65</c:v>
                </c:pt>
                <c:pt idx="13">
                  <c:v>386</c:v>
                </c:pt>
                <c:pt idx="14">
                  <c:v>386.5</c:v>
                </c:pt>
                <c:pt idx="15">
                  <c:v>386.79</c:v>
                </c:pt>
                <c:pt idx="16">
                  <c:v>387</c:v>
                </c:pt>
                <c:pt idx="17">
                  <c:v>387</c:v>
                </c:pt>
                <c:pt idx="18">
                  <c:v>387.7</c:v>
                </c:pt>
                <c:pt idx="19">
                  <c:v>388</c:v>
                </c:pt>
                <c:pt idx="20">
                  <c:v>393.1916129032258</c:v>
                </c:pt>
                <c:pt idx="21">
                  <c:v>394.62</c:v>
                </c:pt>
                <c:pt idx="22">
                  <c:v>395</c:v>
                </c:pt>
                <c:pt idx="23">
                  <c:v>400</c:v>
                </c:pt>
                <c:pt idx="24">
                  <c:v>402</c:v>
                </c:pt>
                <c:pt idx="25">
                  <c:v>402</c:v>
                </c:pt>
                <c:pt idx="26">
                  <c:v>423.29999999999995</c:v>
                </c:pt>
                <c:pt idx="27">
                  <c:v>424</c:v>
                </c:pt>
              </c:numCache>
            </c:numRef>
          </c:xVal>
          <c:yVal>
            <c:numRef>
              <c:f>Sheet1!$C$2:$C$29</c:f>
              <c:numCache>
                <c:formatCode>General</c:formatCode>
                <c:ptCount val="28"/>
                <c:pt idx="0">
                  <c:v>18.821903260581635</c:v>
                </c:pt>
                <c:pt idx="1">
                  <c:v>23.214446098225871</c:v>
                </c:pt>
                <c:pt idx="2">
                  <c:v>17.780368941488263</c:v>
                </c:pt>
                <c:pt idx="3">
                  <c:v>16.008283564543753</c:v>
                </c:pt>
                <c:pt idx="4">
                  <c:v>17.67313911815171</c:v>
                </c:pt>
                <c:pt idx="5">
                  <c:v>15.219249052061953</c:v>
                </c:pt>
                <c:pt idx="6">
                  <c:v>17.919056336686666</c:v>
                </c:pt>
                <c:pt idx="7">
                  <c:v>14.492929091920233</c:v>
                </c:pt>
                <c:pt idx="8">
                  <c:v>17.620322884363361</c:v>
                </c:pt>
                <c:pt idx="9">
                  <c:v>11.880286332482832</c:v>
                </c:pt>
                <c:pt idx="10">
                  <c:v>12.670484988682281</c:v>
                </c:pt>
                <c:pt idx="11">
                  <c:v>15.005586761676955</c:v>
                </c:pt>
                <c:pt idx="12">
                  <c:v>10.24</c:v>
                </c:pt>
                <c:pt idx="13">
                  <c:v>12.57</c:v>
                </c:pt>
                <c:pt idx="14">
                  <c:v>10.85945525999343</c:v>
                </c:pt>
                <c:pt idx="15">
                  <c:v>11.9</c:v>
                </c:pt>
                <c:pt idx="16">
                  <c:v>4.7310393928883219</c:v>
                </c:pt>
                <c:pt idx="17">
                  <c:v>9.17</c:v>
                </c:pt>
                <c:pt idx="18">
                  <c:v>5.7117235998984626</c:v>
                </c:pt>
                <c:pt idx="19">
                  <c:v>7.51</c:v>
                </c:pt>
                <c:pt idx="20">
                  <c:v>9.1786144064454032</c:v>
                </c:pt>
                <c:pt idx="21">
                  <c:v>10.58</c:v>
                </c:pt>
                <c:pt idx="22">
                  <c:v>15.28911812309763</c:v>
                </c:pt>
                <c:pt idx="23">
                  <c:v>17.201846767874876</c:v>
                </c:pt>
                <c:pt idx="24">
                  <c:v>19.851071866045174</c:v>
                </c:pt>
                <c:pt idx="25">
                  <c:v>21.386848966692959</c:v>
                </c:pt>
                <c:pt idx="26">
                  <c:v>15.353859620889972</c:v>
                </c:pt>
                <c:pt idx="27">
                  <c:v>11.940965477758466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4-034B-8643-80987DBA6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80016"/>
        <c:axId val="1660307792"/>
      </c:scatterChart>
      <c:valAx>
        <c:axId val="664080016"/>
        <c:scaling>
          <c:orientation val="maxMin"/>
          <c:max val="43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307792"/>
        <c:crosses val="autoZero"/>
        <c:crossBetween val="midCat"/>
      </c:valAx>
      <c:valAx>
        <c:axId val="16603077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8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622300</xdr:colOff>
      <xdr:row>22</xdr:row>
      <xdr:rowOff>190500</xdr:rowOff>
    </xdr:from>
    <xdr:to>
      <xdr:col>23</xdr:col>
      <xdr:colOff>25400</xdr:colOff>
      <xdr:row>43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FC732-C5FE-13FE-41B8-8612337CF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9E20-10DD-7D41-8B2F-6EE9119054E5}">
  <dimension ref="A1:G31"/>
  <sheetViews>
    <sheetView tabSelected="1" workbookViewId="0">
      <selection activeCell="C2" activeCellId="1" sqref="B2:B29 C2:C2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33</v>
      </c>
      <c r="D1" t="s">
        <v>21</v>
      </c>
      <c r="E1" t="s">
        <v>22</v>
      </c>
      <c r="G1" t="s">
        <v>32</v>
      </c>
    </row>
    <row r="2" spans="1:7" x14ac:dyDescent="0.2">
      <c r="A2" t="s">
        <v>2</v>
      </c>
      <c r="B2">
        <v>312.34669829972319</v>
      </c>
      <c r="C2">
        <f>G2+4</f>
        <v>18.821903260581635</v>
      </c>
      <c r="D2">
        <v>4.8422640513630395E-3</v>
      </c>
      <c r="E2">
        <v>0.11510865775175314</v>
      </c>
      <c r="G2">
        <v>14.821903260581637</v>
      </c>
    </row>
    <row r="3" spans="1:7" x14ac:dyDescent="0.2">
      <c r="A3" t="s">
        <v>24</v>
      </c>
      <c r="B3">
        <v>312.34669829972319</v>
      </c>
      <c r="C3">
        <f t="shared" ref="C3:C29" si="0">G3+4</f>
        <v>23.214446098225871</v>
      </c>
      <c r="D3">
        <v>6.8141572959844153E-3</v>
      </c>
      <c r="E3">
        <v>9.5646082625266526E-2</v>
      </c>
      <c r="G3">
        <v>19.214446098225871</v>
      </c>
    </row>
    <row r="4" spans="1:7" x14ac:dyDescent="0.2">
      <c r="A4" t="s">
        <v>3</v>
      </c>
      <c r="B4">
        <v>320.19169632265715</v>
      </c>
      <c r="C4">
        <f t="shared" si="0"/>
        <v>17.780368941488263</v>
      </c>
      <c r="D4">
        <v>5.5671660456792504E-3</v>
      </c>
      <c r="E4">
        <v>4.9740988172006081E-3</v>
      </c>
      <c r="G4">
        <v>13.780368941488263</v>
      </c>
    </row>
    <row r="5" spans="1:7" x14ac:dyDescent="0.2">
      <c r="A5" t="s">
        <v>23</v>
      </c>
      <c r="B5">
        <v>320.19169632265715</v>
      </c>
      <c r="C5">
        <f t="shared" si="0"/>
        <v>16.008283564543753</v>
      </c>
      <c r="D5">
        <v>2.8724908390103743E-3</v>
      </c>
      <c r="E5">
        <v>8.005106950385428E-2</v>
      </c>
      <c r="G5">
        <v>12.008283564543753</v>
      </c>
    </row>
    <row r="6" spans="1:7" x14ac:dyDescent="0.2">
      <c r="A6" t="s">
        <v>4</v>
      </c>
      <c r="B6">
        <v>322.02641360221429</v>
      </c>
      <c r="C6">
        <f t="shared" si="0"/>
        <v>17.67313911815171</v>
      </c>
      <c r="D6">
        <v>4.6220416987817125E-3</v>
      </c>
      <c r="E6">
        <v>0</v>
      </c>
      <c r="G6">
        <v>13.673139118151711</v>
      </c>
    </row>
    <row r="7" spans="1:7" x14ac:dyDescent="0.2">
      <c r="A7" t="s">
        <v>5</v>
      </c>
      <c r="B7">
        <v>322.37437722419929</v>
      </c>
      <c r="C7">
        <f t="shared" si="0"/>
        <v>15.219249052061953</v>
      </c>
      <c r="D7">
        <v>3.8202412998450024E-3</v>
      </c>
      <c r="E7">
        <v>9.3199842554362328E-3</v>
      </c>
      <c r="G7">
        <v>11.219249052061953</v>
      </c>
    </row>
    <row r="8" spans="1:7" x14ac:dyDescent="0.2">
      <c r="A8" t="s">
        <v>6</v>
      </c>
      <c r="B8">
        <v>341.49</v>
      </c>
      <c r="C8">
        <f t="shared" si="0"/>
        <v>17.919056336686666</v>
      </c>
      <c r="D8">
        <v>0</v>
      </c>
      <c r="E8">
        <v>0</v>
      </c>
      <c r="G8">
        <v>13.919056336686664</v>
      </c>
    </row>
    <row r="9" spans="1:7" x14ac:dyDescent="0.2">
      <c r="A9" t="s">
        <v>7</v>
      </c>
      <c r="B9">
        <v>348.61500000000001</v>
      </c>
      <c r="C9">
        <f t="shared" si="0"/>
        <v>14.492929091920233</v>
      </c>
      <c r="D9">
        <v>0</v>
      </c>
      <c r="E9">
        <v>0</v>
      </c>
      <c r="G9">
        <v>10.492929091920233</v>
      </c>
    </row>
    <row r="10" spans="1:7" x14ac:dyDescent="0.2">
      <c r="A10" t="s">
        <v>8</v>
      </c>
      <c r="B10">
        <v>348.85</v>
      </c>
      <c r="C10">
        <f t="shared" si="0"/>
        <v>17.620322884363361</v>
      </c>
      <c r="D10">
        <v>0</v>
      </c>
      <c r="E10">
        <v>3.9350836715266263E-2</v>
      </c>
      <c r="G10">
        <v>13.620322884363361</v>
      </c>
    </row>
    <row r="11" spans="1:7" x14ac:dyDescent="0.2">
      <c r="A11" t="s">
        <v>9</v>
      </c>
      <c r="B11">
        <v>372.9354207436399</v>
      </c>
      <c r="C11">
        <f t="shared" si="0"/>
        <v>11.880286332482832</v>
      </c>
      <c r="D11">
        <v>0</v>
      </c>
      <c r="E11">
        <v>0.16939369237385227</v>
      </c>
      <c r="G11">
        <v>7.8802863324828332</v>
      </c>
    </row>
    <row r="12" spans="1:7" x14ac:dyDescent="0.2">
      <c r="A12" t="s">
        <v>10</v>
      </c>
      <c r="B12">
        <v>378.12885744392594</v>
      </c>
      <c r="C12">
        <f t="shared" si="0"/>
        <v>12.670484988682281</v>
      </c>
      <c r="D12">
        <v>7.0825032511655749E-3</v>
      </c>
      <c r="E12">
        <v>0</v>
      </c>
      <c r="G12">
        <v>8.670484988682281</v>
      </c>
    </row>
    <row r="13" spans="1:7" x14ac:dyDescent="0.2">
      <c r="A13" t="s">
        <v>11</v>
      </c>
      <c r="B13">
        <v>379.79978925184406</v>
      </c>
      <c r="C13">
        <f t="shared" si="0"/>
        <v>15.005586761676955</v>
      </c>
      <c r="D13">
        <v>0</v>
      </c>
      <c r="E13">
        <v>0</v>
      </c>
      <c r="G13">
        <v>11.005586761676955</v>
      </c>
    </row>
    <row r="14" spans="1:7" x14ac:dyDescent="0.2">
      <c r="A14" s="3" t="s">
        <v>31</v>
      </c>
      <c r="B14" s="7">
        <v>384.65</v>
      </c>
      <c r="C14">
        <f t="shared" si="0"/>
        <v>10.24</v>
      </c>
      <c r="D14">
        <v>0</v>
      </c>
      <c r="E14" s="7">
        <v>0.06</v>
      </c>
      <c r="G14" s="5">
        <v>6.24</v>
      </c>
    </row>
    <row r="15" spans="1:7" x14ac:dyDescent="0.2">
      <c r="A15" s="1" t="s">
        <v>26</v>
      </c>
      <c r="B15" s="6">
        <v>386</v>
      </c>
      <c r="C15">
        <f t="shared" si="0"/>
        <v>12.57</v>
      </c>
      <c r="D15">
        <v>0</v>
      </c>
      <c r="E15" s="6">
        <v>0.57999999999999996</v>
      </c>
      <c r="G15" s="2">
        <v>8.57</v>
      </c>
    </row>
    <row r="16" spans="1:7" x14ac:dyDescent="0.2">
      <c r="A16" t="s">
        <v>12</v>
      </c>
      <c r="B16">
        <v>386.5</v>
      </c>
      <c r="C16">
        <f t="shared" si="0"/>
        <v>10.85945525999343</v>
      </c>
      <c r="D16">
        <v>0</v>
      </c>
      <c r="E16">
        <v>0</v>
      </c>
      <c r="G16">
        <v>6.85945525999343</v>
      </c>
    </row>
    <row r="17" spans="1:7" x14ac:dyDescent="0.2">
      <c r="A17" s="3" t="s">
        <v>29</v>
      </c>
      <c r="B17" s="7">
        <v>386.79</v>
      </c>
      <c r="C17">
        <f t="shared" si="0"/>
        <v>11.9</v>
      </c>
      <c r="D17">
        <v>0</v>
      </c>
      <c r="E17" s="7">
        <v>0.32</v>
      </c>
      <c r="G17" s="5">
        <v>7.9</v>
      </c>
    </row>
    <row r="18" spans="1:7" x14ac:dyDescent="0.2">
      <c r="A18" t="s">
        <v>13</v>
      </c>
      <c r="B18">
        <v>387</v>
      </c>
      <c r="C18">
        <f t="shared" si="0"/>
        <v>4.7310393928883219</v>
      </c>
      <c r="D18">
        <v>0</v>
      </c>
      <c r="E18">
        <v>0</v>
      </c>
      <c r="G18">
        <v>0.73103939288832187</v>
      </c>
    </row>
    <row r="19" spans="1:7" x14ac:dyDescent="0.2">
      <c r="A19" s="1" t="s">
        <v>27</v>
      </c>
      <c r="B19" s="6">
        <v>387</v>
      </c>
      <c r="C19">
        <f t="shared" si="0"/>
        <v>9.17</v>
      </c>
      <c r="D19">
        <v>0</v>
      </c>
      <c r="E19" s="6">
        <v>0.55000000000000004</v>
      </c>
      <c r="G19" s="2">
        <v>5.17</v>
      </c>
    </row>
    <row r="20" spans="1:7" x14ac:dyDescent="0.2">
      <c r="A20" t="s">
        <v>14</v>
      </c>
      <c r="B20">
        <v>387.7</v>
      </c>
      <c r="C20">
        <f t="shared" si="0"/>
        <v>5.7117235998984626</v>
      </c>
      <c r="D20">
        <v>0</v>
      </c>
      <c r="E20">
        <v>3.6288005458800861E-3</v>
      </c>
      <c r="G20">
        <v>1.7117235998984626</v>
      </c>
    </row>
    <row r="21" spans="1:7" x14ac:dyDescent="0.2">
      <c r="A21" s="1" t="s">
        <v>28</v>
      </c>
      <c r="B21" s="6">
        <v>388</v>
      </c>
      <c r="C21">
        <f t="shared" si="0"/>
        <v>7.51</v>
      </c>
      <c r="D21">
        <v>0</v>
      </c>
      <c r="E21" s="6">
        <v>0.37</v>
      </c>
      <c r="G21" s="2">
        <v>3.51</v>
      </c>
    </row>
    <row r="22" spans="1:7" ht="17" thickBot="1" x14ac:dyDescent="0.25">
      <c r="A22" t="s">
        <v>15</v>
      </c>
      <c r="B22">
        <v>393.1916129032258</v>
      </c>
      <c r="C22">
        <f t="shared" si="0"/>
        <v>9.1786144064454032</v>
      </c>
      <c r="D22">
        <v>0</v>
      </c>
      <c r="E22">
        <v>0</v>
      </c>
      <c r="G22">
        <v>5.1786144064454032</v>
      </c>
    </row>
    <row r="23" spans="1:7" x14ac:dyDescent="0.2">
      <c r="A23" s="3" t="s">
        <v>30</v>
      </c>
      <c r="B23" s="4">
        <v>394.62</v>
      </c>
      <c r="C23">
        <f t="shared" si="0"/>
        <v>10.58</v>
      </c>
      <c r="D23">
        <v>0</v>
      </c>
      <c r="E23" s="7">
        <v>0.56000000000000005</v>
      </c>
      <c r="G23" s="5">
        <v>6.58</v>
      </c>
    </row>
    <row r="24" spans="1:7" x14ac:dyDescent="0.2">
      <c r="A24" t="s">
        <v>16</v>
      </c>
      <c r="B24" s="13">
        <v>395</v>
      </c>
      <c r="C24">
        <f t="shared" si="0"/>
        <v>15.28911812309763</v>
      </c>
      <c r="D24">
        <v>6.0806541707094895E-3</v>
      </c>
      <c r="E24">
        <v>0</v>
      </c>
      <c r="G24">
        <v>11.28911812309763</v>
      </c>
    </row>
    <row r="25" spans="1:7" x14ac:dyDescent="0.2">
      <c r="A25" t="s">
        <v>17</v>
      </c>
      <c r="B25" s="13">
        <v>400</v>
      </c>
      <c r="C25">
        <f t="shared" si="0"/>
        <v>17.201846767874876</v>
      </c>
      <c r="D25">
        <v>0</v>
      </c>
      <c r="E25">
        <v>9.4037209230695112E-2</v>
      </c>
      <c r="G25">
        <v>13.201846767874875</v>
      </c>
    </row>
    <row r="26" spans="1:7" ht="17" thickBot="1" x14ac:dyDescent="0.25">
      <c r="A26" t="s">
        <v>18</v>
      </c>
      <c r="B26" s="10">
        <v>402</v>
      </c>
      <c r="C26">
        <f t="shared" si="0"/>
        <v>19.851071866045174</v>
      </c>
      <c r="D26">
        <v>6.8104861595816883E-3</v>
      </c>
      <c r="E26">
        <v>0</v>
      </c>
      <c r="G26">
        <v>15.851071866045174</v>
      </c>
    </row>
    <row r="27" spans="1:7" x14ac:dyDescent="0.2">
      <c r="A27" t="s">
        <v>25</v>
      </c>
      <c r="B27" s="11">
        <v>402</v>
      </c>
      <c r="C27">
        <f t="shared" si="0"/>
        <v>21.386848966692959</v>
      </c>
      <c r="D27">
        <v>6.8121026250534261E-3</v>
      </c>
      <c r="E27">
        <v>0.22954936429573958</v>
      </c>
      <c r="G27">
        <v>17.386848966692959</v>
      </c>
    </row>
    <row r="28" spans="1:7" ht="17" thickBot="1" x14ac:dyDescent="0.25">
      <c r="A28" t="s">
        <v>19</v>
      </c>
      <c r="B28" s="10">
        <v>423.29999999999995</v>
      </c>
      <c r="C28">
        <f t="shared" si="0"/>
        <v>15.353859620889972</v>
      </c>
      <c r="D28">
        <v>0</v>
      </c>
      <c r="E28">
        <v>0</v>
      </c>
      <c r="G28">
        <v>11.353859620889972</v>
      </c>
    </row>
    <row r="29" spans="1:7" ht="17" thickBot="1" x14ac:dyDescent="0.25">
      <c r="A29" t="s">
        <v>20</v>
      </c>
      <c r="B29" s="12">
        <v>424</v>
      </c>
      <c r="C29">
        <f t="shared" si="0"/>
        <v>11.940965477758466</v>
      </c>
      <c r="D29">
        <v>0</v>
      </c>
      <c r="E29">
        <v>0</v>
      </c>
      <c r="G29">
        <v>7.940965477758466</v>
      </c>
    </row>
    <row r="30" spans="1:7" x14ac:dyDescent="0.2">
      <c r="A30" s="8"/>
      <c r="G30" s="9"/>
    </row>
    <row r="31" spans="1:7" x14ac:dyDescent="0.2">
      <c r="A31" s="8"/>
      <c r="G31" s="9"/>
    </row>
  </sheetData>
  <sortState xmlns:xlrd2="http://schemas.microsoft.com/office/spreadsheetml/2017/richdata2" ref="A2:E29">
    <sortCondition ref="B2:B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Ghosh</dc:creator>
  <cp:lastModifiedBy>Adit Ghosh</cp:lastModifiedBy>
  <dcterms:created xsi:type="dcterms:W3CDTF">2026-02-02T18:43:05Z</dcterms:created>
  <dcterms:modified xsi:type="dcterms:W3CDTF">2026-02-04T23:43:43Z</dcterms:modified>
</cp:coreProperties>
</file>